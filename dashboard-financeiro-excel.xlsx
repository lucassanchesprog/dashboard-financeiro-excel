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Dados" sheetId="3" r:id="rId1"/>
    <sheet name="Resumo" sheetId="8" r:id="rId2"/>
    <sheet name="Dashboard" sheetId="1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<sst xmlns="http://schemas.openxmlformats.org/spreadsheetml/2006/main" count="46" uniqueCount="33">
  <si>
    <t>ORÇAMENTO DE JANEIRO</t>
  </si>
  <si>
    <t>MORADIA</t>
  </si>
  <si>
    <t>SAUDE</t>
  </si>
  <si>
    <t>ALIMENTAÇÃO</t>
  </si>
  <si>
    <t>LAZER</t>
  </si>
  <si>
    <t>INVESTIMENTO</t>
  </si>
  <si>
    <t>CUSTO</t>
  </si>
  <si>
    <t>Aluguel</t>
  </si>
  <si>
    <t>Remédio</t>
  </si>
  <si>
    <t>Supermercado</t>
  </si>
  <si>
    <t>Roupas</t>
  </si>
  <si>
    <t xml:space="preserve">Poupança </t>
  </si>
  <si>
    <t>Gás</t>
  </si>
  <si>
    <t xml:space="preserve">Plano de saude </t>
  </si>
  <si>
    <t xml:space="preserve">Feira </t>
  </si>
  <si>
    <t xml:space="preserve">Passeios </t>
  </si>
  <si>
    <t>Àgua</t>
  </si>
  <si>
    <t>Dentista</t>
  </si>
  <si>
    <t>Açougue</t>
  </si>
  <si>
    <t>Restaurante</t>
  </si>
  <si>
    <t>Codominio</t>
  </si>
  <si>
    <t>Celular</t>
  </si>
  <si>
    <t>Internet</t>
  </si>
  <si>
    <t>Iptu</t>
  </si>
  <si>
    <t>SUBTOTAL</t>
  </si>
  <si>
    <t>RESUMO FINANCEIRO - JANEIRO</t>
  </si>
  <si>
    <t>CATEGORIAS</t>
  </si>
  <si>
    <t>TOTAL</t>
  </si>
  <si>
    <t>TOTAL GERAL</t>
  </si>
  <si>
    <t>DASHBOARD FINANCEIRO - JANEIRO</t>
  </si>
  <si>
    <t>RENDA TOTAL</t>
  </si>
  <si>
    <t>GASTOS TOTAIS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</si>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</sst>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&quot;R$&quot;\ #,##0.00_);[Red]\(&quot;R$&quot;\ #,###.00\)"/>
    <numFmt numFmtId="181" formatCode="0.00_);[Red]\(0.00\)"/>
  </numFmts>
  <fonts count="26">
    <font>
      <sz val="10"/>
      <color theme="1"/>
      <name val="Calibri"/>
      <charset val="134"/>
      <scheme val="minor"/>
    </font>
    <font>
      <b/>
      <sz val="10"/>
      <color theme="1"/>
      <name val="Arial"/>
      <charset val="134"/>
    </font>
    <font>
      <sz val="8"/>
      <color theme="1"/>
      <name val="Arial"/>
      <charset val="134"/>
    </font>
    <font>
      <sz val="9"/>
      <color theme="1"/>
      <name val="Arial"/>
      <charset val="134"/>
    </font>
    <font>
      <b/>
      <sz val="9"/>
      <color theme="1"/>
      <name val="Arial"/>
      <charset val="134"/>
    </font>
    <font>
      <b/>
      <sz val="11"/>
      <color theme="1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180" fontId="2" fillId="0" borderId="1" xfId="0" applyNumberFormat="1" applyFont="1" applyBorder="1">
      <alignment vertical="center"/>
    </xf>
    <xf numFmtId="0" fontId="3" fillId="0" borderId="0" xfId="0" applyFont="1" applyBorder="1" applyAlignment="1">
      <alignment horizontal="center" vertical="center"/>
    </xf>
    <xf numFmtId="180" fontId="3" fillId="0" borderId="0" xfId="0" applyNumberFormat="1" applyFont="1" applyBorder="1">
      <alignment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0" fontId="0" fillId="2" borderId="1" xfId="0" applyFill="1" applyBorder="1">
      <alignment vertical="center"/>
    </xf>
    <xf numFmtId="180" fontId="0" fillId="3" borderId="1" xfId="0" applyNumberFormat="1" applyFill="1" applyBorder="1">
      <alignment vertical="center"/>
    </xf>
    <xf numFmtId="0" fontId="0" fillId="0" borderId="0" xfId="0" applyFill="1" applyBorder="1">
      <alignment vertical="center"/>
    </xf>
    <xf numFmtId="0" fontId="0" fillId="0" borderId="0" xfId="0" applyFill="1">
      <alignment vertical="center"/>
    </xf>
    <xf numFmtId="0" fontId="5" fillId="4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80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3" fillId="0" borderId="0" xfId="0" applyFont="1" applyFill="1">
      <alignment vertical="center"/>
    </xf>
    <xf numFmtId="0" fontId="4" fillId="0" borderId="0" xfId="0" applyFont="1" applyFill="1" applyAlignment="1">
      <alignment horizontal="center" vertical="center"/>
    </xf>
    <xf numFmtId="0" fontId="3" fillId="0" borderId="0" xfId="0" applyFont="1">
      <alignment vertical="center"/>
    </xf>
    <xf numFmtId="0" fontId="1" fillId="3" borderId="1" xfId="0" applyFont="1" applyFill="1" applyBorder="1" applyAlignment="1">
      <alignment horizontal="right" vertical="center"/>
    </xf>
    <xf numFmtId="0" fontId="4" fillId="3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/>
    </xf>
    <xf numFmtId="180" fontId="6" fillId="5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80" fontId="6" fillId="0" borderId="1" xfId="0" applyNumberFormat="1" applyFont="1" applyBorder="1" applyAlignment="1">
      <alignment horizontal="center" vertical="center"/>
    </xf>
    <xf numFmtId="180" fontId="6" fillId="0" borderId="0" xfId="0" applyNumberFormat="1" applyFont="1" applyAlignment="1">
      <alignment horizontal="center" vertical="center"/>
    </xf>
    <xf numFmtId="180" fontId="1" fillId="3" borderId="1" xfId="0" applyNumberFormat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180" fontId="1" fillId="3" borderId="1" xfId="0" applyNumberFormat="1" applyFont="1" applyFill="1" applyBorder="1">
      <alignment vertical="center"/>
    </xf>
    <xf numFmtId="0" fontId="0" fillId="0" borderId="0" xfId="0" applyNumberFormat="1">
      <alignment vertical="center"/>
    </xf>
    <xf numFmtId="180" fontId="0" fillId="0" borderId="0" xfId="0" applyNumberFormat="1">
      <alignment vertical="center"/>
    </xf>
    <xf numFmtId="0" fontId="4" fillId="3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81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pt-BR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ORÇAMENTO DE JANEIRO</a:t>
            </a:r>
          </a:p>
          <a:p>
            <a:pPr defTabSz="914400">
              <a:defRPr lang="pt-BR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  <a:p>
            <a:pPr defTabSz="914400">
              <a:defRPr lang="pt-BR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rich>
      </c:tx>
      <c:layout>
        <c:manualLayout>
          <c:xMode val="edge"/>
          <c:yMode val="edge"/>
          <c:x val="0.375649685230881"/>
          <c:y val="0.011160080622267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Resumo!$J$4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-0.0377177323260208"/>
                  <c:y val="-0.207191853702055"/>
                </c:manualLayout>
              </c:layout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120068022436113"/>
                  <c:y val="0.000519143561451443"/>
                </c:manualLayout>
              </c:layout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296052631578947"/>
                  <c:y val="0.128472222222222"/>
                </c:manualLayout>
              </c:layout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549768333747757"/>
                  <c:y val="-0.078986444964256"/>
                </c:manualLayout>
              </c:layout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147131920031203"/>
                  <c:y val="-0.107069350280367"/>
                </c:manualLayout>
              </c:layout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pt-BR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1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Resumo!$I$5:$I$10</c15:sqref>
                  </c15:fullRef>
                </c:ext>
              </c:extLst>
              <c:f>Resumo!$I$5:$I$9</c:f>
              <c:strCache>
                <c:ptCount val="5"/>
                <c:pt idx="0">
                  <c:v>MORADIA</c:v>
                </c:pt>
                <c:pt idx="1">
                  <c:v>SAUDE</c:v>
                </c:pt>
                <c:pt idx="2">
                  <c:v>ALIMENTAÇÃO</c:v>
                </c:pt>
                <c:pt idx="3">
                  <c:v>LAZER</c:v>
                </c:pt>
                <c:pt idx="4">
                  <c:v>INVESTIMENTO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Resumo!$J$5:$J$10</c15:sqref>
                  </c15:fullRef>
                </c:ext>
              </c:extLst>
              <c:f>Resumo!$J$5:$J$9</c:f>
              <c:numCache>
                <c:formatCode>"R$"\ #,##0.00_);[Red]\("R$"\ #,###.00\)</c:formatCode>
                <c:ptCount val="5"/>
                <c:pt idx="0">
                  <c:v>1800</c:v>
                </c:pt>
                <c:pt idx="1">
                  <c:v>520</c:v>
                </c:pt>
                <c:pt idx="2">
                  <c:v>900</c:v>
                </c:pt>
                <c:pt idx="3">
                  <c:v>800</c:v>
                </c:pt>
                <c:pt idx="4">
                  <c:v>200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0657894736842"/>
          <c:y val="0.303240740740741"/>
          <c:w val="0.187631578947368"/>
          <c:h val="0.471990740740741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89b8caa-5882-4b01-8ae0-1cd481d004d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pt-BR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403225</xdr:colOff>
      <xdr:row>2</xdr:row>
      <xdr:rowOff>101600</xdr:rowOff>
    </xdr:from>
    <xdr:to>
      <xdr:col>13</xdr:col>
      <xdr:colOff>107315</xdr:colOff>
      <xdr:row>22</xdr:row>
      <xdr:rowOff>139700</xdr:rowOff>
    </xdr:to>
    <xdr:graphicFrame>
      <xdr:nvGraphicFramePr>
        <xdr:cNvPr id="2" name="Gráfico 1"/>
        <xdr:cNvGraphicFramePr/>
      </xdr:nvGraphicFramePr>
      <xdr:xfrm>
        <a:off x="3917950" y="425450"/>
        <a:ext cx="5114290" cy="3276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0"/>
  <sheetViews>
    <sheetView tabSelected="1" zoomScale="90" zoomScaleNormal="90" workbookViewId="0">
      <selection activeCell="F25" sqref="F25"/>
    </sheetView>
  </sheetViews>
  <sheetFormatPr defaultColWidth="9.14285714285714" defaultRowHeight="12.75"/>
  <cols>
    <col min="1" max="1" width="4.91428571428571" customWidth="1"/>
    <col min="2" max="2" width="14.4380952380952" customWidth="1"/>
    <col min="3" max="3" width="13.1714285714286" customWidth="1"/>
    <col min="4" max="4" width="6.65714285714286" customWidth="1"/>
    <col min="5" max="5" width="5.07619047619048" customWidth="1"/>
    <col min="6" max="6" width="16.0285714285714" customWidth="1"/>
    <col min="7" max="7" width="10.5714285714286"/>
    <col min="9" max="9" width="5.44761904761905" customWidth="1"/>
    <col min="10" max="10" width="13.5714285714286" customWidth="1"/>
    <col min="11" max="11" width="10.5714285714286"/>
    <col min="13" max="13" width="6.35238095238095" customWidth="1"/>
    <col min="14" max="14" width="11.0380952380952" customWidth="1"/>
    <col min="15" max="15" width="10.5714285714286"/>
    <col min="18" max="18" width="10.4285714285714" customWidth="1"/>
    <col min="19" max="19" width="10.5714285714286"/>
  </cols>
  <sheetData>
    <row r="1" spans="1:2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spans="1:2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</row>
    <row r="3" s="15" customFormat="1" ht="15" spans="1:2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</row>
    <row r="4" s="16" customFormat="1" ht="15" spans="1:2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</row>
    <row r="5" s="16" customFormat="1" ht="15" spans="1:21">
      <c r="A5" s="19"/>
      <c r="B5" s="20"/>
      <c r="C5" s="21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</row>
    <row r="6" s="16" customFormat="1" spans="1:19">
      <c r="A6" s="22"/>
      <c r="B6" s="22"/>
      <c r="C6" s="22"/>
      <c r="D6" s="23"/>
      <c r="E6" s="24"/>
      <c r="F6" s="24"/>
      <c r="G6" s="24"/>
      <c r="H6" s="23"/>
      <c r="I6" s="24"/>
      <c r="J6" s="24"/>
      <c r="K6" s="24"/>
      <c r="L6" s="23"/>
      <c r="M6" s="24"/>
      <c r="N6" s="24"/>
      <c r="O6" s="24"/>
      <c r="P6" s="23"/>
      <c r="Q6" s="24"/>
      <c r="R6" s="24"/>
      <c r="S6" s="24"/>
    </row>
    <row r="7" spans="1:19">
      <c r="A7" s="1" t="s">
        <v>1</v>
      </c>
      <c r="B7" s="1"/>
      <c r="C7" s="1"/>
      <c r="D7" s="25"/>
      <c r="E7" s="7" t="s">
        <v>2</v>
      </c>
      <c r="F7" s="7"/>
      <c r="G7" s="7"/>
      <c r="H7" s="25"/>
      <c r="I7" s="7" t="s">
        <v>3</v>
      </c>
      <c r="J7" s="7"/>
      <c r="K7" s="7"/>
      <c r="L7" s="25"/>
      <c r="M7" s="7" t="s">
        <v>4</v>
      </c>
      <c r="N7" s="7"/>
      <c r="O7" s="7"/>
      <c r="P7" s="25"/>
      <c r="Q7" s="7" t="s">
        <v>5</v>
      </c>
      <c r="R7" s="7"/>
      <c r="S7" s="7"/>
    </row>
    <row r="8" spans="1:19">
      <c r="A8" s="26" t="s">
        <v>6</v>
      </c>
      <c r="B8" s="26"/>
      <c r="C8" s="26"/>
      <c r="D8" s="25"/>
      <c r="E8" s="27" t="s">
        <v>6</v>
      </c>
      <c r="F8" s="27"/>
      <c r="G8" s="27"/>
      <c r="H8" s="25"/>
      <c r="I8" s="40" t="s">
        <v>6</v>
      </c>
      <c r="J8" s="40"/>
      <c r="K8" s="40"/>
      <c r="L8" s="25"/>
      <c r="M8" s="40" t="s">
        <v>6</v>
      </c>
      <c r="N8" s="40"/>
      <c r="O8" s="40"/>
      <c r="P8" s="25"/>
      <c r="Q8" s="40" t="s">
        <v>6</v>
      </c>
      <c r="R8" s="40"/>
      <c r="S8" s="40"/>
    </row>
    <row r="9" spans="1:19">
      <c r="A9" s="28">
        <v>1</v>
      </c>
      <c r="B9" s="28" t="s">
        <v>7</v>
      </c>
      <c r="C9" s="29">
        <v>900</v>
      </c>
      <c r="D9" s="30"/>
      <c r="E9" s="31">
        <v>1</v>
      </c>
      <c r="F9" s="32" t="s">
        <v>8</v>
      </c>
      <c r="G9" s="33">
        <v>200</v>
      </c>
      <c r="H9" s="30"/>
      <c r="I9" s="32">
        <v>1</v>
      </c>
      <c r="J9" s="32" t="s">
        <v>9</v>
      </c>
      <c r="K9" s="33">
        <v>600</v>
      </c>
      <c r="L9" s="30"/>
      <c r="M9" s="32">
        <v>1</v>
      </c>
      <c r="N9" s="32" t="s">
        <v>10</v>
      </c>
      <c r="O9" s="33">
        <v>200</v>
      </c>
      <c r="P9" s="30"/>
      <c r="Q9" s="32">
        <v>1</v>
      </c>
      <c r="R9" s="32" t="s">
        <v>11</v>
      </c>
      <c r="S9" s="33">
        <v>200</v>
      </c>
    </row>
    <row r="10" spans="1:19">
      <c r="A10" s="28">
        <v>2</v>
      </c>
      <c r="B10" s="28" t="s">
        <v>12</v>
      </c>
      <c r="C10" s="29">
        <v>100</v>
      </c>
      <c r="D10" s="30"/>
      <c r="E10" s="31">
        <v>2</v>
      </c>
      <c r="F10" s="32" t="s">
        <v>13</v>
      </c>
      <c r="G10" s="33">
        <v>200</v>
      </c>
      <c r="H10" s="30"/>
      <c r="I10" s="32">
        <v>2</v>
      </c>
      <c r="J10" s="32" t="s">
        <v>14</v>
      </c>
      <c r="K10" s="33">
        <v>140</v>
      </c>
      <c r="L10" s="30"/>
      <c r="M10" s="32">
        <v>2</v>
      </c>
      <c r="N10" s="32" t="s">
        <v>15</v>
      </c>
      <c r="O10" s="33">
        <v>250</v>
      </c>
      <c r="P10" s="30"/>
      <c r="Q10" s="32"/>
      <c r="R10" s="32"/>
      <c r="S10" s="33"/>
    </row>
    <row r="11" spans="1:19">
      <c r="A11" s="28">
        <v>3</v>
      </c>
      <c r="B11" s="28" t="s">
        <v>16</v>
      </c>
      <c r="C11" s="29">
        <v>60</v>
      </c>
      <c r="D11" s="30"/>
      <c r="E11" s="31">
        <v>3</v>
      </c>
      <c r="F11" s="32" t="s">
        <v>17</v>
      </c>
      <c r="G11" s="33">
        <v>120</v>
      </c>
      <c r="H11" s="30"/>
      <c r="I11" s="32">
        <v>3</v>
      </c>
      <c r="J11" s="32" t="s">
        <v>18</v>
      </c>
      <c r="K11" s="33">
        <v>160</v>
      </c>
      <c r="L11" s="30"/>
      <c r="M11" s="32">
        <v>3</v>
      </c>
      <c r="N11" s="32" t="s">
        <v>19</v>
      </c>
      <c r="O11" s="33">
        <v>350</v>
      </c>
      <c r="P11" s="30"/>
      <c r="Q11" s="32"/>
      <c r="R11" s="32"/>
      <c r="S11" s="33"/>
    </row>
    <row r="12" spans="1:19">
      <c r="A12" s="28">
        <v>4</v>
      </c>
      <c r="B12" s="28" t="s">
        <v>20</v>
      </c>
      <c r="C12" s="29">
        <v>400</v>
      </c>
      <c r="D12" s="34"/>
      <c r="E12" s="31"/>
      <c r="F12" s="32"/>
      <c r="G12" s="33"/>
      <c r="H12" s="30"/>
      <c r="I12" s="32"/>
      <c r="J12" s="32"/>
      <c r="K12" s="33"/>
      <c r="L12" s="30"/>
      <c r="M12" s="32"/>
      <c r="N12" s="32"/>
      <c r="O12" s="33"/>
      <c r="P12" s="30"/>
      <c r="Q12" s="32"/>
      <c r="R12" s="32"/>
      <c r="S12" s="33"/>
    </row>
    <row r="13" spans="1:19">
      <c r="A13" s="28">
        <v>5</v>
      </c>
      <c r="B13" s="28" t="s">
        <v>21</v>
      </c>
      <c r="C13" s="29">
        <v>40</v>
      </c>
      <c r="D13" s="34"/>
      <c r="E13" s="31"/>
      <c r="F13" s="32"/>
      <c r="G13" s="33"/>
      <c r="H13" s="30"/>
      <c r="I13" s="32"/>
      <c r="J13" s="32"/>
      <c r="K13" s="33"/>
      <c r="L13" s="30"/>
      <c r="M13" s="32"/>
      <c r="N13" s="32"/>
      <c r="O13" s="33"/>
      <c r="P13" s="30"/>
      <c r="Q13" s="32"/>
      <c r="R13" s="32"/>
      <c r="S13" s="33"/>
    </row>
    <row r="14" spans="1:19">
      <c r="A14" s="28">
        <v>6</v>
      </c>
      <c r="B14" s="28" t="s">
        <v>22</v>
      </c>
      <c r="C14" s="29">
        <v>100</v>
      </c>
      <c r="D14" s="34"/>
      <c r="E14" s="31"/>
      <c r="F14" s="32"/>
      <c r="G14" s="33"/>
      <c r="H14" s="30"/>
      <c r="I14" s="32"/>
      <c r="J14" s="32"/>
      <c r="K14" s="33"/>
      <c r="L14" s="30"/>
      <c r="M14" s="32"/>
      <c r="N14" s="32"/>
      <c r="O14" s="33"/>
      <c r="P14" s="30"/>
      <c r="Q14" s="32"/>
      <c r="R14" s="32"/>
      <c r="S14" s="33"/>
    </row>
    <row r="15" ht="14" customHeight="1" spans="1:19">
      <c r="A15" s="28">
        <v>7</v>
      </c>
      <c r="B15" s="28" t="s">
        <v>23</v>
      </c>
      <c r="C15" s="29">
        <v>200</v>
      </c>
      <c r="D15" s="34"/>
      <c r="E15" s="31"/>
      <c r="F15" s="32"/>
      <c r="G15" s="33"/>
      <c r="H15" s="30"/>
      <c r="I15" s="32"/>
      <c r="J15" s="32"/>
      <c r="K15" s="33"/>
      <c r="L15" s="30"/>
      <c r="M15" s="32"/>
      <c r="N15" s="32"/>
      <c r="O15" s="33"/>
      <c r="P15" s="30"/>
      <c r="Q15" s="32"/>
      <c r="R15" s="32"/>
      <c r="S15" s="33"/>
    </row>
    <row r="16" spans="1:19">
      <c r="A16" s="1" t="s">
        <v>24</v>
      </c>
      <c r="B16" s="1"/>
      <c r="C16" s="35">
        <f>SUM(C9:C15)</f>
        <v>1800</v>
      </c>
      <c r="D16" s="36"/>
      <c r="E16" s="1" t="s">
        <v>24</v>
      </c>
      <c r="F16" s="1"/>
      <c r="G16" s="37">
        <f>SUM(G9:G11)</f>
        <v>520</v>
      </c>
      <c r="H16" s="36"/>
      <c r="I16" s="41" t="s">
        <v>24</v>
      </c>
      <c r="J16" s="42"/>
      <c r="K16" s="37">
        <f>SUM(K9:K11)</f>
        <v>900</v>
      </c>
      <c r="L16" s="36"/>
      <c r="M16" s="41" t="s">
        <v>24</v>
      </c>
      <c r="N16" s="42"/>
      <c r="O16" s="37">
        <f>SUM(O9:O11)</f>
        <v>800</v>
      </c>
      <c r="P16" s="36"/>
      <c r="Q16" s="41" t="s">
        <v>24</v>
      </c>
      <c r="R16" s="42"/>
      <c r="S16" s="37">
        <f>SUM(S9)</f>
        <v>200</v>
      </c>
    </row>
    <row r="19" spans="8:10">
      <c r="H19" s="38"/>
      <c r="I19" s="39"/>
      <c r="J19" s="43"/>
    </row>
    <row r="20" spans="3:3">
      <c r="C20" s="39"/>
    </row>
    <row r="21" spans="3:3">
      <c r="C21" s="39"/>
    </row>
    <row r="22" spans="3:3">
      <c r="C22" s="39"/>
    </row>
    <row r="23" spans="3:3">
      <c r="C23" s="39"/>
    </row>
    <row r="30" ht="11" customHeight="1"/>
  </sheetData>
  <mergeCells count="16">
    <mergeCell ref="A7:C7"/>
    <mergeCell ref="E7:G7"/>
    <mergeCell ref="I7:K7"/>
    <mergeCell ref="M7:O7"/>
    <mergeCell ref="Q7:S7"/>
    <mergeCell ref="A8:C8"/>
    <mergeCell ref="E8:G8"/>
    <mergeCell ref="I8:K8"/>
    <mergeCell ref="M8:O8"/>
    <mergeCell ref="Q8:S8"/>
    <mergeCell ref="A16:B16"/>
    <mergeCell ref="E16:F16"/>
    <mergeCell ref="I16:J16"/>
    <mergeCell ref="M16:N16"/>
    <mergeCell ref="Q16:R16"/>
    <mergeCell ref="A1:U2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I1:K10"/>
  <sheetViews>
    <sheetView workbookViewId="0">
      <selection activeCell="F11" sqref="F11"/>
    </sheetView>
  </sheetViews>
  <sheetFormatPr defaultColWidth="9.14285714285714" defaultRowHeight="12.75"/>
  <cols>
    <col min="9" max="9" width="15.4285714285714" customWidth="1"/>
    <col min="10" max="10" width="12.4285714285714"/>
    <col min="11" max="11" width="11.5714285714286" customWidth="1"/>
    <col min="12" max="12" width="12.7142857142857" customWidth="1"/>
  </cols>
  <sheetData>
    <row r="1" s="6" customFormat="1" spans="9:10">
      <c r="I1" s="7" t="s">
        <v>25</v>
      </c>
      <c r="J1" s="7"/>
    </row>
    <row r="2" s="6" customFormat="1" spans="9:10">
      <c r="I2" s="7"/>
      <c r="J2" s="7"/>
    </row>
    <row r="4" spans="9:11">
      <c r="I4" s="8" t="s">
        <v>26</v>
      </c>
      <c r="J4" s="9" t="s">
        <v>27</v>
      </c>
      <c r="K4" s="10"/>
    </row>
    <row r="5" spans="9:11">
      <c r="I5" s="11" t="s">
        <v>1</v>
      </c>
      <c r="J5" s="12">
        <v>1800</v>
      </c>
      <c r="K5" s="10"/>
    </row>
    <row r="6" spans="9:11">
      <c r="I6" s="11" t="s">
        <v>2</v>
      </c>
      <c r="J6" s="12">
        <v>520</v>
      </c>
      <c r="K6" s="10"/>
    </row>
    <row r="7" spans="9:11">
      <c r="I7" s="11" t="s">
        <v>3</v>
      </c>
      <c r="J7" s="12">
        <v>900</v>
      </c>
      <c r="K7" s="10"/>
    </row>
    <row r="8" spans="9:11">
      <c r="I8" s="11" t="s">
        <v>4</v>
      </c>
      <c r="J8" s="12">
        <v>800</v>
      </c>
      <c r="K8" s="10"/>
    </row>
    <row r="9" spans="9:11">
      <c r="I9" s="11" t="s">
        <v>5</v>
      </c>
      <c r="J9" s="12">
        <v>200</v>
      </c>
      <c r="K9" s="10"/>
    </row>
    <row r="10" spans="9:10">
      <c r="I10" s="13" t="s">
        <v>28</v>
      </c>
      <c r="J10" s="14">
        <f>SUM(J5:J9)</f>
        <v>4220</v>
      </c>
    </row>
  </sheetData>
  <mergeCells count="1">
    <mergeCell ref="I1:J2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K15"/>
  <sheetViews>
    <sheetView workbookViewId="0">
      <selection activeCell="C13" sqref="C13"/>
    </sheetView>
  </sheetViews>
  <sheetFormatPr defaultColWidth="9.14285714285714" defaultRowHeight="12.75"/>
  <cols>
    <col min="4" max="4" width="13.8571428571429" customWidth="1"/>
    <col min="5" max="5" width="11.4285714285714" customWidth="1"/>
    <col min="6" max="6" width="13.8571428571429" customWidth="1"/>
    <col min="7" max="7" width="12.4285714285714"/>
  </cols>
  <sheetData>
    <row r="1" spans="8:11">
      <c r="H1" s="1" t="s">
        <v>29</v>
      </c>
      <c r="I1" s="1"/>
      <c r="J1" s="1"/>
      <c r="K1" s="1"/>
    </row>
    <row r="2" spans="8:11">
      <c r="H2" s="1"/>
      <c r="I2" s="1"/>
      <c r="J2" s="1"/>
      <c r="K2" s="1"/>
    </row>
    <row r="3" spans="4:5">
      <c r="D3" s="2" t="s">
        <v>30</v>
      </c>
      <c r="E3" s="3">
        <v>6000</v>
      </c>
    </row>
    <row r="4" spans="4:5">
      <c r="D4" s="2" t="s">
        <v>31</v>
      </c>
      <c r="E4" s="3">
        <v>4220</v>
      </c>
    </row>
    <row r="5" spans="4:5">
      <c r="D5" s="2" t="s">
        <v>32</v>
      </c>
      <c r="E5" s="3">
        <v>1780</v>
      </c>
    </row>
    <row r="13" spans="6:7">
      <c r="F13" s="4"/>
      <c r="G13" s="5"/>
    </row>
    <row r="14" spans="6:7">
      <c r="F14" s="4"/>
      <c r="G14" s="5"/>
    </row>
    <row r="15" spans="6:7">
      <c r="F15" s="4"/>
      <c r="G15" s="5"/>
    </row>
  </sheetData>
  <mergeCells count="1">
    <mergeCell ref="H1:K2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Dados</vt:lpstr>
      <vt:lpstr>Resumo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lucas</cp:lastModifiedBy>
  <dcterms:created xsi:type="dcterms:W3CDTF">2026-03-24T23:20:00Z</dcterms:created>
  <dcterms:modified xsi:type="dcterms:W3CDTF">2026-04-03T01:19:25Z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037C9AA7FBE94823B4C8E98E3A997BD7_13</vt:lpwstr>
  </property>
  <property fmtid="{D5CDD505-2E9C-101B-9397-08002B2CF9AE}" pid="3" name="KSOProductBuildVer">
    <vt:lpwstr>1046-12.2.0.23197</vt:lpwstr>
  </property>
</Properties>
</file>